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w\Documents\"/>
    </mc:Choice>
  </mc:AlternateContent>
  <xr:revisionPtr revIDLastSave="0" documentId="8_{442378AD-1099-4119-A95A-D1BAA283F4E0}" xr6:coauthVersionLast="45" xr6:coauthVersionMax="45" xr10:uidLastSave="{00000000-0000-0000-0000-000000000000}"/>
  <bookViews>
    <workbookView xWindow="-108" yWindow="-108" windowWidth="23256" windowHeight="12720" firstSheet="1" activeTab="1" xr2:uid="{F595D77D-555F-4F97-A37E-1F174ED009B4}"/>
  </bookViews>
  <sheets>
    <sheet name="Cognos_Office_Connection_Cache" sheetId="2" state="veryHidden" r:id="rId1"/>
    <sheet name="Sheet1" sheetId="1" r:id="rId2"/>
  </sheets>
  <definedNames>
    <definedName name="ID" localSheetId="0" hidden="1">"4955a980-f384-4d3d-98f3-fdd711e7e759"</definedName>
    <definedName name="ID" localSheetId="1" hidden="1">"d9c2db18-33bc-4fe9-90a3-676a65884bc9"</definedName>
    <definedName name="TM1RPTDATARNG25063595" localSheetId="1">Sheet1!$13:$13</definedName>
    <definedName name="TM1RPTFMTIDCOL25063595" localSheetId="1">Sheet1!$A$1:$A$3</definedName>
    <definedName name="TM1RPTFMTRNG25063595" localSheetId="1">Sheet1!$B$1:$C$3</definedName>
    <definedName name="TM1RPTQRYRNG25063595" localSheetId="1">Sheet1!#REF!</definedName>
    <definedName name="TM1RPTVIEWRNG25063595" localSheetId="1">Sheet1!$B$5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1" l="1" a="1"/>
  <c r="D8" i="1" a="1"/>
  <c r="B5" i="1"/>
  <c r="A13" i="1"/>
  <c r="D9" i="1" l="1"/>
  <c r="D8" i="1"/>
  <c r="B4" i="1" s="1"/>
  <c r="B13" i="1"/>
  <c r="C13" i="1" l="1"/>
  <c r="D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<sst xmlns="http://schemas.openxmlformats.org/spreadsheetml/2006/main" count="9" uniqueCount="9">
  <si>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[Begin Format Range]</t>
  </si>
  <si>
    <t>Leaf</t>
  </si>
  <si>
    <t>[End Format Range]</t>
  </si>
  <si>
    <t>Element Name</t>
  </si>
  <si>
    <t>video #1</t>
  </si>
  <si>
    <t>Genre</t>
  </si>
  <si>
    <t>Artist</t>
  </si>
  <si>
    <t>Need a dropdown to choose what to search by: Genre, Artist, Country, or Year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</si>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</sst>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sz val="10.5"/>
      <color rgb="FF165D81"/>
      <name val="Aktiv Grotesk Corp Light"/>
      <family val="2"/>
    </font>
    <font>
      <sz val="11"/>
      <color theme="1"/>
      <name val="Aktiv Grotesk Corp Light"/>
      <family val="2"/>
    </font>
    <font>
      <b/>
      <sz val="10.5"/>
      <color theme="1" tint="0.24994659260841701"/>
      <name val="Aktiv Grotesk Corp Light"/>
      <family val="2"/>
    </font>
    <font>
      <b/>
      <sz val="10.5"/>
      <color rgb="FF165D81"/>
      <name val="Aktiv Grotesk Corp Light"/>
      <family val="2"/>
    </font>
    <font>
      <b/>
      <sz val="11"/>
      <color theme="1"/>
      <name val="Aktiv Grotesk Corp"/>
      <family val="2"/>
    </font>
  </fonts>
  <fills count="4">
    <fill>
      <patternFill patternType="none"/>
    </fill>
    <fill>
      <patternFill patternType="gray125"/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56">
    <xf numFmtId="0" fontId="0" fillId="0" borderId="0"/>
    <xf numFmtId="0" fontId="1" fillId="0" borderId="1" applyNumberFormat="0" applyFill="0" applyProtection="0">
      <alignment horizontal="center" vertical="center"/>
    </xf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2" fillId="0" borderId="2" applyFont="0" applyFill="0" applyAlignment="0" applyProtection="0"/>
    <xf numFmtId="3" fontId="1" fillId="0" borderId="1" applyNumberFormat="0" applyFill="0" applyAlignment="0" applyProtection="0"/>
    <xf numFmtId="0" fontId="1" fillId="0" borderId="1" applyNumberFormat="0" applyFill="0" applyAlignment="0" applyProtection="0"/>
    <xf numFmtId="3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3" fontId="2" fillId="0" borderId="0" applyNumberFormat="0" applyBorder="0" applyAlignment="0" applyProtection="0"/>
    <xf numFmtId="3" fontId="2" fillId="0" borderId="0" applyNumberFormat="0" applyBorder="0" applyAlignment="0" applyProtection="0"/>
    <xf numFmtId="3" fontId="2" fillId="0" borderId="0" applyNumberFormat="0" applyBorder="0" applyAlignment="0" applyProtection="0"/>
    <xf numFmtId="3" fontId="2" fillId="0" borderId="0" applyNumberFormat="0" applyBorder="0" applyAlignment="0" applyProtection="0"/>
    <xf numFmtId="3" fontId="2" fillId="0" borderId="0" applyNumberFormat="0" applyBorder="0" applyAlignment="0" applyProtection="0"/>
    <xf numFmtId="3" fontId="2" fillId="0" borderId="2" applyNumberFormat="0" applyBorder="0" applyAlignment="0" applyProtection="0"/>
    <xf numFmtId="3" fontId="2" fillId="0" borderId="2" applyNumberFormat="0" applyBorder="0" applyAlignment="0" applyProtection="0"/>
    <xf numFmtId="3" fontId="2" fillId="0" borderId="2" applyNumberFormat="0" applyBorder="0" applyAlignment="0" applyProtection="0"/>
    <xf numFmtId="0" fontId="2" fillId="0" borderId="2" applyNumberFormat="0" applyFill="0" applyAlignment="0" applyProtection="0"/>
    <xf numFmtId="0" fontId="2" fillId="0" borderId="2" applyNumberFormat="0" applyFill="0" applyAlignment="0" applyProtection="0"/>
    <xf numFmtId="0" fontId="2" fillId="0" borderId="2">
      <alignment horizontal="right" vertical="center"/>
    </xf>
    <xf numFmtId="3" fontId="2" fillId="2" borderId="2">
      <alignment horizontal="center" vertical="center"/>
    </xf>
    <xf numFmtId="0" fontId="2" fillId="2" borderId="2">
      <alignment horizontal="right" vertical="center"/>
    </xf>
    <xf numFmtId="0" fontId="1" fillId="0" borderId="3">
      <alignment horizontal="left" vertical="center"/>
    </xf>
    <xf numFmtId="0" fontId="1" fillId="0" borderId="4">
      <alignment horizontal="center" vertical="center"/>
    </xf>
    <xf numFmtId="0" fontId="3" fillId="0" borderId="5">
      <alignment horizontal="center" vertical="center"/>
    </xf>
    <xf numFmtId="0" fontId="2" fillId="3" borderId="2"/>
    <xf numFmtId="3" fontId="4" fillId="0" borderId="2"/>
    <xf numFmtId="3" fontId="5" fillId="0" borderId="2"/>
    <xf numFmtId="0" fontId="1" fillId="0" borderId="4">
      <alignment horizontal="left" vertical="top"/>
    </xf>
    <xf numFmtId="0" fontId="6" fillId="0" borderId="2"/>
    <xf numFmtId="0" fontId="1" fillId="0" borderId="4">
      <alignment horizontal="left" vertical="center"/>
    </xf>
    <xf numFmtId="0" fontId="2" fillId="2" borderId="6"/>
    <xf numFmtId="3" fontId="2" fillId="0" borderId="2">
      <alignment horizontal="right" vertical="center"/>
    </xf>
    <xf numFmtId="0" fontId="1" fillId="0" borderId="4">
      <alignment horizontal="right" vertical="center"/>
    </xf>
    <xf numFmtId="0" fontId="2" fillId="0" borderId="5">
      <alignment horizontal="center" vertical="center"/>
    </xf>
    <xf numFmtId="3" fontId="2" fillId="0" borderId="2"/>
    <xf numFmtId="3" fontId="2" fillId="0" borderId="2"/>
    <xf numFmtId="0" fontId="2" fillId="0" borderId="5">
      <alignment horizontal="center" vertical="center" wrapText="1"/>
    </xf>
    <xf numFmtId="0" fontId="7" fillId="0" borderId="5">
      <alignment horizontal="left" vertical="center" indent="1"/>
    </xf>
    <xf numFmtId="0" fontId="8" fillId="0" borderId="2"/>
    <xf numFmtId="0" fontId="1" fillId="0" borderId="3">
      <alignment horizontal="left" vertical="center"/>
    </xf>
    <xf numFmtId="3" fontId="2" fillId="0" borderId="2">
      <alignment horizontal="center" vertical="center"/>
    </xf>
    <xf numFmtId="0" fontId="1" fillId="0" borderId="4">
      <alignment horizontal="center" vertical="center"/>
    </xf>
    <xf numFmtId="0" fontId="1" fillId="0" borderId="4">
      <alignment horizontal="center" vertical="center"/>
    </xf>
    <xf numFmtId="0" fontId="1" fillId="0" borderId="3">
      <alignment horizontal="left" vertical="center"/>
    </xf>
    <xf numFmtId="0" fontId="1" fillId="0" borderId="3">
      <alignment horizontal="left" vertical="center"/>
    </xf>
    <xf numFmtId="0" fontId="9" fillId="0" borderId="2"/>
  </cellStyleXfs>
  <cellXfs count="14">
    <xf numFmtId="0" fontId="0" fillId="0" borderId="0" xfId="0"/>
    <xf numFmtId="0" fontId="11" fillId="0" borderId="0" xfId="0" quotePrefix="1" applyFont="1"/>
    <xf numFmtId="0" fontId="11" fillId="0" borderId="0" xfId="0" applyFont="1"/>
    <xf numFmtId="0" fontId="12" fillId="0" borderId="0" xfId="25" quotePrefix="1" applyNumberFormat="1" applyFont="1" applyBorder="1"/>
    <xf numFmtId="0" fontId="12" fillId="0" borderId="0" xfId="25" applyNumberFormat="1" applyFont="1" applyBorder="1"/>
    <xf numFmtId="0" fontId="13" fillId="0" borderId="1" xfId="1" quotePrefix="1" applyFont="1">
      <alignment horizontal="center" vertical="center"/>
    </xf>
    <xf numFmtId="49" fontId="10" fillId="0" borderId="8" xfId="17" applyNumberFormat="1" applyFont="1" applyBorder="1" applyAlignment="1">
      <alignment vertical="center"/>
    </xf>
    <xf numFmtId="3" fontId="12" fillId="0" borderId="9" xfId="9" applyFont="1" applyBorder="1" applyAlignment="1">
      <alignment vertical="center"/>
    </xf>
    <xf numFmtId="0" fontId="14" fillId="0" borderId="0" xfId="0" applyFont="1" applyAlignment="1">
      <alignment horizontal="right" vertical="center"/>
    </xf>
    <xf numFmtId="0" fontId="11" fillId="0" borderId="0" xfId="0" applyFont="1" applyAlignment="1">
      <alignment vertical="center"/>
    </xf>
    <xf numFmtId="0" fontId="11" fillId="0" borderId="7" xfId="0" applyFont="1" applyBorder="1" applyAlignment="1">
      <alignment vertical="center"/>
    </xf>
    <xf numFmtId="0" fontId="10" fillId="0" borderId="9" xfId="17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/>
    </xf>
  </cellXfs>
  <cellStyles count="56">
    <cellStyle name="AF Column - IBM Cognos" xfId="1" xr:uid="{AD68A94E-9EA8-4148-8763-7F4D59A36AE1}"/>
    <cellStyle name="AF Data - IBM Cognos" xfId="2" xr:uid="{DFB64D04-3C53-4E6D-BC44-60BF7C3D6E77}"/>
    <cellStyle name="AF Data 0 - IBM Cognos" xfId="3" xr:uid="{1120B79A-5D2F-481D-A2AC-829F66180A18}"/>
    <cellStyle name="AF Data 1 - IBM Cognos" xfId="4" xr:uid="{173CF28D-6749-4265-948B-FACA5B5B5EC5}"/>
    <cellStyle name="AF Data 2 - IBM Cognos" xfId="5" xr:uid="{168C75E1-85D1-40E8-8D15-200B39C784CB}"/>
    <cellStyle name="AF Data 3 - IBM Cognos" xfId="6" xr:uid="{2B172E00-8FBB-447E-B6A0-A76E69DCAEFB}"/>
    <cellStyle name="AF Data 4 - IBM Cognos" xfId="7" xr:uid="{89C9ADBD-A162-4558-8015-91E26B26C78D}"/>
    <cellStyle name="AF Data 5 - IBM Cognos" xfId="8" xr:uid="{38219CCC-8596-4006-A93A-1A24D97A4049}"/>
    <cellStyle name="AF Data Leaf - IBM Cognos" xfId="9" xr:uid="{42210743-0E80-4015-9BA0-692908D13BCA}"/>
    <cellStyle name="AF Header - IBM Cognos" xfId="10" xr:uid="{93A66D67-E1AA-42EA-938E-BF8BF405F3B5}"/>
    <cellStyle name="AF Header 0 - IBM Cognos" xfId="11" xr:uid="{B427FECE-D35E-4C18-AFBD-EB174D106EBD}"/>
    <cellStyle name="AF Header 1 - IBM Cognos" xfId="12" xr:uid="{869CCD21-315A-4104-AE77-87DD58D45149}"/>
    <cellStyle name="AF Header 2 - IBM Cognos" xfId="13" xr:uid="{57BB8505-166D-49D4-AF08-0649CC6C2019}"/>
    <cellStyle name="AF Header 3 - IBM Cognos" xfId="14" xr:uid="{443E9CDD-0182-40AC-BCAF-6A91135C3055}"/>
    <cellStyle name="AF Header 4 - IBM Cognos" xfId="15" xr:uid="{233D635A-9D9A-4995-82DB-754B32A26CDF}"/>
    <cellStyle name="AF Header 5 - IBM Cognos" xfId="16" xr:uid="{51852996-2BEA-4205-9626-730544FE221E}"/>
    <cellStyle name="AF Header Leaf - IBM Cognos" xfId="17" xr:uid="{929794FD-8CB1-496D-AFC4-64E29AAF104D}"/>
    <cellStyle name="AF Row - IBM Cognos" xfId="18" xr:uid="{99C3032D-E708-426D-8AE4-FE6151BCEAB6}"/>
    <cellStyle name="AF Row 0 - IBM Cognos" xfId="19" xr:uid="{95BECB61-C3DD-4FD8-A19E-C73DC57F68DE}"/>
    <cellStyle name="AF Row 1 - IBM Cognos" xfId="20" xr:uid="{26BF205E-2DA4-4DA7-8D68-9D4112873BB9}"/>
    <cellStyle name="AF Row 2 - IBM Cognos" xfId="21" xr:uid="{F4E08C6B-B5DD-46B9-9EAC-9E50AC8DA26D}"/>
    <cellStyle name="AF Row 3 - IBM Cognos" xfId="22" xr:uid="{3B0F2012-E73F-4F31-9100-D1E22E4BEBF5}"/>
    <cellStyle name="AF Row 4 - IBM Cognos" xfId="23" xr:uid="{19E13DF3-8DD4-48F3-8392-0DF919F3AE68}"/>
    <cellStyle name="AF Row 5 - IBM Cognos" xfId="24" xr:uid="{0B812D9E-C9E7-490F-A206-EABA9F3B274F}"/>
    <cellStyle name="AF Row Leaf - IBM Cognos" xfId="25" xr:uid="{3E659C14-AC97-497C-A934-EE2BEA7E7442}"/>
    <cellStyle name="AF Subnm - IBM Cognos" xfId="26" xr:uid="{612D0BEC-77B7-4281-976A-09FE3C49A780}"/>
    <cellStyle name="AF Title - IBM Cognos" xfId="27" xr:uid="{5F01100C-5073-413D-AEC3-B02346861A6E}"/>
    <cellStyle name="Calculated Column - IBM Cognos" xfId="28" xr:uid="{4E9406FC-8F50-43AE-80F6-035F9C4F74A2}"/>
    <cellStyle name="Calculated Column Name - IBM Cognos" xfId="29" xr:uid="{06C46484-7826-4DB5-8C2A-B025AC7128D8}"/>
    <cellStyle name="Calculated Row - IBM Cognos" xfId="30" xr:uid="{7307BAD3-B54E-4DE7-9F8E-2901968AE0CF}"/>
    <cellStyle name="Calculated Row Name - IBM Cognos" xfId="31" xr:uid="{B7A03F0A-61CA-45DA-BA9F-0FD9C70C3257}"/>
    <cellStyle name="Column Name - IBM Cognos" xfId="32" xr:uid="{D0477DBD-1745-4693-8D23-32D4F940E550}"/>
    <cellStyle name="Column Template - IBM Cognos" xfId="33" xr:uid="{8A043CE7-D654-4102-BB2B-E70A4D34B546}"/>
    <cellStyle name="Differs From Base - IBM Cognos" xfId="34" xr:uid="{3C8D0691-3A22-430E-8C85-22120DFB588E}"/>
    <cellStyle name="Edit - IBM Cognos" xfId="35" xr:uid="{4CF623BA-0EA4-4C17-AA46-EE3C408BE45A}"/>
    <cellStyle name="Formula - IBM Cognos" xfId="36" xr:uid="{EDCDDCBD-3C38-4903-910A-DA1F95C0530B}"/>
    <cellStyle name="Group Name - IBM Cognos" xfId="37" xr:uid="{C744F405-6A5C-419B-84C6-AEE001FB505A}"/>
    <cellStyle name="Hold Values - IBM Cognos" xfId="38" xr:uid="{10C2EF5B-EE28-43CC-8228-FA377D8A29F4}"/>
    <cellStyle name="List Name - IBM Cognos" xfId="39" xr:uid="{AE4EC7D0-1EBA-4BF7-9154-F57FE6D25246}"/>
    <cellStyle name="Locked - IBM Cognos" xfId="40" xr:uid="{B3FCF8F8-646B-47E0-B2B9-2B2CE5B5F755}"/>
    <cellStyle name="Measure - IBM Cognos" xfId="41" xr:uid="{4A46E328-D13D-46AC-855D-F6900949331B}"/>
    <cellStyle name="Measure Header - IBM Cognos" xfId="42" xr:uid="{A64CC3F1-1B15-4BB3-90B4-10E8C7F172A6}"/>
    <cellStyle name="Measure Name - IBM Cognos" xfId="43" xr:uid="{9C2C9DDE-0579-43D4-BEC0-2ADCDB6A1214}"/>
    <cellStyle name="Measure Summary - IBM Cognos" xfId="44" xr:uid="{8555A51A-F782-4817-8BFD-77CBA02DC141}"/>
    <cellStyle name="Measure Summary TM1 - IBM Cognos" xfId="45" xr:uid="{FAC5AE1A-A0DC-4DE6-ADFE-A93E261EFC05}"/>
    <cellStyle name="Measure Template - IBM Cognos" xfId="46" xr:uid="{8900DB17-820F-4925-B8E4-8FCFFC4F363A}"/>
    <cellStyle name="More - IBM Cognos" xfId="47" xr:uid="{DAAE34C3-D504-42B5-AD1B-DF63AEC52AFD}"/>
    <cellStyle name="Normal" xfId="0" builtinId="0"/>
    <cellStyle name="Pending Change - IBM Cognos" xfId="48" xr:uid="{321EEE0F-5908-4CDA-B0A8-020B7DBBB03B}"/>
    <cellStyle name="Row Name - IBM Cognos" xfId="49" xr:uid="{E32D75B7-0FD6-43AF-A833-18554932A23D}"/>
    <cellStyle name="Row Template - IBM Cognos" xfId="50" xr:uid="{FBA9DF9A-CBBB-4A69-B564-B60E0EC128EB}"/>
    <cellStyle name="Summary Column Name - IBM Cognos" xfId="51" xr:uid="{528FB2A8-2FDE-458F-A8BA-0B0AF62C3467}"/>
    <cellStyle name="Summary Column Name TM1 - IBM Cognos" xfId="52" xr:uid="{F0C6A25F-8EC5-4225-8FE5-A8DCCFC5A602}"/>
    <cellStyle name="Summary Row Name - IBM Cognos" xfId="53" xr:uid="{3C6D83C4-2FB3-4DAB-B4A5-37054F0ADB56}"/>
    <cellStyle name="Summary Row Name TM1 - IBM Cognos" xfId="54" xr:uid="{1DA504D3-1800-40C9-9CC5-B6B06981A9E7}"/>
    <cellStyle name="Unsaved Change - IBM Cognos" xfId="55" xr:uid="{6F192B07-E405-4249-89F4-609551F588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theme" Target="theme/theme1.xml"/>
  <Relationship Id="rId4" Type="http://schemas.openxmlformats.org/officeDocument/2006/relationships/styles" Target="styles.xml"/>
  <Relationship Id="rId5" Type="http://schemas.openxmlformats.org/officeDocument/2006/relationships/sharedStrings" Target="sharedStrings.xml"/>
  <Relationship Id="rId6" Type="http://schemas.openxmlformats.org/officeDocument/2006/relationships/sheetMetadata" Target="metadata.xml"/>
  <Relationship Id="rId7" Type="http://schemas.openxmlformats.org/officeDocument/2006/relationships/calcChain" Target="calcChain.xml"/>
  <Relationship Id="rId8" Type="http://schemas.microsoft.com/office/2006/relationships/vbaProject" Target="vbaProject.bin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3429000</xdr:colOff>
      <xdr:row>6</xdr:row>
      <xdr:rowOff>167640</xdr:rowOff>
    </xdr:from>
    <xdr:to>
      <xdr:col>1</xdr:col>
      <xdr:colOff>4732020</xdr:colOff>
      <xdr:row>9</xdr:row>
      <xdr:rowOff>0</xdr:rowOff>
    </xdr:to>
    <xdr:sp macro="Sheet2.ExecuteAction_2f199c6a_fb9e_47c1_a189_6dce82426ca7" textlink="">
      <xdr:nvSpPr>
        <xdr:cNvPr id="2" name="TM1Button_2f199c6a_fb9e_47c1_a189_6dce82426ca7">
          <a:extLst>
            <a:ext uri="{FF2B5EF4-FFF2-40B4-BE49-F238E27FC236}">
              <a16:creationId xmlns:a16="http://schemas.microsoft.com/office/drawing/2014/main" id="{A04D0380-C11E-4EF4-B383-344B90CC0845}"/>
            </a:ext>
          </a:extLst>
        </xdr:cNvPr>
        <xdr:cNvSpPr txBox="1"/>
      </xdr:nvSpPr>
      <xdr:spPr>
        <a:xfrm>
          <a:off x="3855720" y="1325880"/>
          <a:ext cx="1303020" cy="556260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1020" b="0" i="0" u="none" strike="noStrike">
              <a:solidFill>
                <a:srgbClr val="000000"/>
              </a:solidFill>
              <a:latin typeface="Segoe UI Symbol" panose="020B0502040204020203" pitchFamily="34" charset="0"/>
              <a:ea typeface="Segoe UI Symbol" panose="020B0502040204020203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customProperty" Target="../customProperty1.bin"/>
</Relationships>
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hyperlink" TargetMode="External" Target="mailto:=@TM1RPTROW($B$5,%22CWR:Release%22,%22Default%22,,%22Title%20and%20Code%22,FALSE,B4)"/>
  <Relationship Id="rId2" Type="http://schemas.openxmlformats.org/officeDocument/2006/relationships/customProperty" Target="../customProperty2.bin"/>
  <Relationship Id="rId3" Type="http://schemas.openxmlformats.org/officeDocument/2006/relationships/drawing" Target="../drawings/drawing1.xml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32F99-EE0D-412E-8B15-A01820692EAF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E7131-6BBF-4637-AA88-30DC24AABEAA}">
  <sheetPr codeName="Sheet2"/>
  <dimension ref="A1:D13"/>
  <sheetViews>
    <sheetView showGridLines="0" tabSelected="1" topLeftCell="B1" workbookViewId="0">
      <pane ySplit="12" topLeftCell="A13" activePane="bottomLeft" state="frozen"/>
      <selection pane="bottomLeft"/>
    </sheetView>
  </sheetViews>
  <sheetFormatPr defaultColWidth="0" defaultRowHeight="13.8" outlineLevelRow="1" outlineLevelCol="1" x14ac:dyDescent="0.25"/>
  <cols>
    <col min="1" max="1" width="6.21875" style="2" hidden="1" customWidth="1" outlineLevel="1"/>
    <col min="2" max="2" width="78.5546875" style="2" customWidth="1" collapsed="1"/>
    <col min="3" max="3" width="45" style="2" hidden="1" customWidth="1" outlineLevel="1"/>
    <col min="4" max="4" width="24.21875" style="2" customWidth="1" collapsed="1"/>
    <col min="5" max="5" width="2.88671875" style="2" customWidth="1"/>
    <col min="6" max="16384" width="8.88671875" style="2" hidden="1"/>
  </cols>
  <sheetData>
    <row r="1" spans="1:4" hidden="1" outlineLevel="1" x14ac:dyDescent="0.25">
      <c r="A1" s="1" t="s">
        <v>0</v>
      </c>
    </row>
    <row r="2" spans="1:4" s="4" customFormat="1" ht="22.2" hidden="1" customHeight="1" outlineLevel="1" x14ac:dyDescent="0.25">
      <c r="A2" s="3" t="s">
        <v>1</v>
      </c>
      <c r="B2" s="6" t="s">
        <v>3</v>
      </c>
      <c r="C2" s="7">
        <v>123.456789</v>
      </c>
      <c r="D2" s="11" t="s">
        <v>8</v>
      </c>
    </row>
    <row r="3" spans="1:4" hidden="1" outlineLevel="1" x14ac:dyDescent="0.25">
      <c r="A3" s="1" t="s">
        <v>2</v>
      </c>
    </row>
    <row r="4" spans="1:4" hidden="1" outlineLevel="1" x14ac:dyDescent="0.25">
      <c r="B4" s="1" t="str">
        <f>"{FILTER(TM1FILTERBYLEVEL(TM1SUBSETALL([Release].[Release]) , 0), ([Release].[Release].CURRENTMEMBER.PROPERTIES("&amp;""""&amp;B8&amp;""""&amp;")="&amp;""""&amp;D8&amp;""""&amp;"))}"</f>
        <v>{FILTER(TM1FILTERBYLEVEL(TM1SUBSETALL([Release].[Release]) , 0), ([Release].[Release].CURRENTMEMBER.PROPERTIES("Genre")="Blues"))}</v>
      </c>
    </row>
    <row r="5" spans="1:4" hidden="1" outlineLevel="1" x14ac:dyDescent="0.25">
      <c r="B5" s="2" t="str">
        <f>_xll.TM1RPTVIEW("CWR:Release Info:25063595",0,TM1RPTFMTRNG25063595,TM1RPTFMTIDCOL25063595)</f>
        <v>CWR:Release Info:25063595</v>
      </c>
    </row>
    <row r="6" spans="1:4" s="13" customFormat="1" ht="0.15" customHeight="1" collapsed="1" x14ac:dyDescent="0.25"/>
    <row r="7" spans="1:4" s="12" customFormat="1" x14ac:dyDescent="0.25">
      <c r="A7" s="2"/>
    </row>
    <row r="8" spans="1:4" ht="22.05" customHeight="1" x14ac:dyDescent="0.25">
      <c r="B8" s="8" t="s">
        <v>5</v>
      </c>
      <c r="C8" s="9"/>
      <c r="D8" s="10" t="str" cm="1">
        <f t="array" ref="D8">_xll.SUBNM("CWR:Genre","Leaf Level Genre",1)</f>
        <v>Blues</v>
      </c>
    </row>
    <row r="9" spans="1:4" ht="22.05" customHeight="1" x14ac:dyDescent="0.25">
      <c r="B9" s="8" t="s">
        <v>6</v>
      </c>
      <c r="C9" s="9"/>
      <c r="D9" s="10" t="str" cm="1">
        <f t="array" ref="D9">_xll.SUBNM("CWR:Artist","Default",1)</f>
        <v>All Artists</v>
      </c>
    </row>
    <row r="11" spans="1:4" ht="14.4" thickBot="1" x14ac:dyDescent="0.3">
      <c r="B11" s="9" t="s">
        <v>7</v>
      </c>
    </row>
    <row r="12" spans="1:4" ht="14.4" thickBot="1" x14ac:dyDescent="0.3">
      <c r="C12" s="5" t="s">
        <v>4</v>
      </c>
    </row>
    <row r="13" spans="1:4" s="4" customFormat="1" ht="22.2" customHeight="1" outlineLevel="1" x14ac:dyDescent="0.25">
      <c r="A13" s="3" t="str">
        <f>IF(_xll.TM1RPTELISCONSOLIDATED($B$13,$B13),IF(_xll.TM1RPTELLEV($B$13,$B13)&lt;=5,_xll.TM1RPTELLEV($B$13,$B13),"Default"),"Leaf")</f>
        <v>Leaf</v>
      </c>
      <c r="B13" s="6" t="str">
        <f>_xll.TM1RPTROW($B$5,"CWR:Release","Default",,"Title and Code",FALSE,B4)</f>
        <v>John Mayall - Road Show Blues - 13808546</v>
      </c>
      <c r="C13" s="7" t="str">
        <f>_xll.DBRW($B$5,$B13,C$12)</f>
        <v>https://www.youtube.com/watch?v=QBks8_jU_FU</v>
      </c>
      <c r="D13" s="11" t="str">
        <f>IF(A13="Leaf",HYPERLINK(C13,"&gt;"),"")</f>
        <v>&gt;</v>
      </c>
    </row>
  </sheetData>
  <mergeCells count="1">
    <mergeCell ref="A6:XFD6"/>
  </mergeCells>
  <hyperlinks>
    <hyperlink ref="B13" r:id="rId1" display="=@TM1RPTROW($B$5,&quot;CWR:Release&quot;,&quot;Default&quot;,,&quot;Title and Code&quot;,FALSE,B4)" xr:uid="{CD8C5661-BF6B-4872-9517-5D365A3301E8}"/>
  </hyperlinks>
  <pageMargins left="0.7" right="0.7" top="0.75" bottom="0.75" header="0.3" footer="0.3"/>
  <customProperties>
    <customPr name="TM1Actions" r:id="rId2"/>
  </customPropertie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12" id="{AAB61A14-A547-43C9-8666-F8DD9C882F01}">
            <x14:iconSet iconSet="3Triangles" showValue="0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iangles" iconId="2"/>
              <x14:cfIcon iconSet="3Triangles" iconId="2"/>
              <x14:cfIcon iconSet="3Triangles" iconId="2"/>
            </x14:iconSet>
          </x14:cfRule>
          <xm:sqref>D2</xm:sqref>
        </x14:conditionalFormatting>
        <x14:conditionalFormatting xmlns:xm="http://schemas.microsoft.com/office/excel/2006/main">
          <x14:cfRule type="iconSet" priority="1" id="{D5580AA9-396B-48C6-938C-BFC771C8A431}">
            <x14:iconSet iconSet="3Triangles" showValue="0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iangles" iconId="2"/>
              <x14:cfIcon iconSet="3Triangles" iconId="2"/>
              <x14:cfIcon iconSet="3Triangles" iconId="2"/>
            </x14:iconSet>
          </x14:cfRule>
          <xm:sqref>D13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Sheet1!TM1RPTDATARNG25063595</vt:lpstr>
      <vt:lpstr>Sheet1!TM1RPTFMTIDCOL25063595</vt:lpstr>
      <vt:lpstr>Sheet1!TM1RPTFMTRNG25063595</vt:lpstr>
      <vt:lpstr>Sheet1!TM1RPTVIEWRNG25063595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category>Applications\Reports\Videos2</category>
  <dcterms:created xsi:type="dcterms:W3CDTF">2019-10-12T23:19:05Z</dcterms:created>
  <dc:creator>Andrew</dc:creator>
  <lastModifiedBy>Andrew</lastModifiedBy>
  <dcterms:modified xsi:type="dcterms:W3CDTF">2019-10-13T00:51:18Z</dcterms:modified>
</coreProperties>
</file>